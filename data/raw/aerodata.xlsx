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陈经纬\Desktop\paper2\cfd_tailsitter\"/>
    </mc:Choice>
  </mc:AlternateContent>
  <xr:revisionPtr revIDLastSave="0" documentId="13_ncr:1_{7673E638-6D5D-4921-A440-A997621111DA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32" i="1" l="1"/>
  <c r="Q33" i="1"/>
  <c r="Q34" i="1"/>
  <c r="Q35" i="1"/>
  <c r="Q36" i="1"/>
  <c r="Q37" i="1"/>
  <c r="Q38" i="1"/>
  <c r="Q39" i="1"/>
  <c r="Q40" i="1"/>
  <c r="Q41" i="1"/>
  <c r="Q31" i="1"/>
  <c r="P31" i="1"/>
  <c r="P32" i="1"/>
  <c r="P33" i="1"/>
  <c r="P34" i="1"/>
  <c r="P35" i="1"/>
  <c r="P36" i="1"/>
  <c r="P37" i="1"/>
  <c r="P38" i="1"/>
  <c r="P39" i="1"/>
  <c r="P40" i="1"/>
  <c r="P41" i="1"/>
  <c r="O32" i="1"/>
  <c r="O33" i="1"/>
  <c r="O34" i="1"/>
  <c r="O35" i="1"/>
  <c r="O36" i="1"/>
  <c r="O37" i="1"/>
  <c r="O38" i="1"/>
  <c r="O39" i="1"/>
  <c r="O40" i="1"/>
  <c r="O41" i="1"/>
  <c r="O31" i="1"/>
</calcChain>
</file>

<file path=xl/sharedStrings.xml><?xml version="1.0" encoding="utf-8"?>
<sst xmlns="http://schemas.openxmlformats.org/spreadsheetml/2006/main" count="23" uniqueCount="14">
  <si>
    <t>alpha</t>
    <phoneticPr fontId="1" type="noConversion"/>
  </si>
  <si>
    <t>beta</t>
    <phoneticPr fontId="1" type="noConversion"/>
  </si>
  <si>
    <t>de</t>
    <phoneticPr fontId="1" type="noConversion"/>
  </si>
  <si>
    <t>cL</t>
    <phoneticPr fontId="1" type="noConversion"/>
  </si>
  <si>
    <t>cD</t>
    <phoneticPr fontId="1" type="noConversion"/>
  </si>
  <si>
    <t>cm</t>
    <phoneticPr fontId="1" type="noConversion"/>
  </si>
  <si>
    <t>dcD</t>
    <phoneticPr fontId="1" type="noConversion"/>
  </si>
  <si>
    <t>dcL</t>
    <phoneticPr fontId="1" type="noConversion"/>
  </si>
  <si>
    <t>dcL</t>
    <phoneticPr fontId="1" type="noConversion"/>
  </si>
  <si>
    <t>dcm</t>
    <phoneticPr fontId="1" type="noConversion"/>
  </si>
  <si>
    <t>ele @ alpha=0</t>
    <phoneticPr fontId="1" type="noConversion"/>
  </si>
  <si>
    <t>lift</t>
    <phoneticPr fontId="1" type="noConversion"/>
  </si>
  <si>
    <t>drag</t>
    <phoneticPr fontId="1" type="noConversion"/>
  </si>
  <si>
    <t>my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</si>
</sst>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3" fillId="0" borderId="0">
      <alignment vertical="center"/>
    </xf>
  </cellStyleXfs>
  <cellXfs count="6">
    <xf numFmtId="0" fontId="0" fillId="0" borderId="0" xfId="0"/>
    <xf numFmtId="0" fontId="2" fillId="0" borderId="0" xfId="0" applyFont="1"/>
    <xf numFmtId="0" fontId="3" fillId="0" borderId="1" xfId="1" applyBorder="1">
      <alignment vertical="center"/>
    </xf>
    <xf numFmtId="0" fontId="3" fillId="0" borderId="0" xfId="1">
      <alignment vertical="center"/>
    </xf>
    <xf numFmtId="0" fontId="2" fillId="0" borderId="0" xfId="1" applyFont="1">
      <alignment vertical="center"/>
    </xf>
    <xf numFmtId="0" fontId="3" fillId="0" borderId="2" xfId="1" applyBorder="1">
      <alignment vertical="center"/>
    </xf>
  </cellXfs>
  <cellStyles count="2">
    <cellStyle name="常规" xfId="0" builtinId="0"/>
    <cellStyle name="常规 2" xfId="1" xr:uid="{6F41BB2B-2667-4DDE-8B70-B0F39DAABFA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42"/>
  <sheetViews>
    <sheetView tabSelected="1" workbookViewId="0">
      <selection activeCell="Q31" sqref="Q31"/>
    </sheetView>
  </sheetViews>
  <sheetFormatPr defaultRowHeight="14.2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I1" t="s">
        <v>2</v>
      </c>
      <c r="J1" t="s">
        <v>8</v>
      </c>
      <c r="K1" t="s">
        <v>6</v>
      </c>
      <c r="L1" t="s">
        <v>9</v>
      </c>
    </row>
    <row r="2" spans="1:12" x14ac:dyDescent="0.2">
      <c r="A2">
        <v>-180</v>
      </c>
      <c r="B2">
        <v>0</v>
      </c>
      <c r="C2">
        <v>0</v>
      </c>
      <c r="D2">
        <v>-1.2855758367346939E-3</v>
      </c>
      <c r="E2">
        <v>2.9724010006583278E-2</v>
      </c>
      <c r="F2">
        <v>2.1008408078319777E-2</v>
      </c>
      <c r="I2">
        <v>-20</v>
      </c>
      <c r="J2">
        <v>0.13135088874259382</v>
      </c>
      <c r="K2">
        <v>2.7532587228439761E-2</v>
      </c>
      <c r="L2">
        <v>-3.075367920321094E-2</v>
      </c>
    </row>
    <row r="3" spans="1:12" x14ac:dyDescent="0.2">
      <c r="A3">
        <v>-170</v>
      </c>
      <c r="B3">
        <v>0</v>
      </c>
      <c r="C3">
        <v>0</v>
      </c>
      <c r="D3">
        <v>0.52679185780118498</v>
      </c>
      <c r="E3">
        <v>0.115230257801185</v>
      </c>
      <c r="F3">
        <v>0.40190778823079693</v>
      </c>
      <c r="I3">
        <v>-15</v>
      </c>
      <c r="J3">
        <v>9.3003291639236332E-2</v>
      </c>
      <c r="K3">
        <v>2.1474654377880185E-2</v>
      </c>
      <c r="L3">
        <v>-2.0666822400135915E-2</v>
      </c>
    </row>
    <row r="4" spans="1:12" x14ac:dyDescent="0.2">
      <c r="A4">
        <v>-160</v>
      </c>
      <c r="B4">
        <v>0</v>
      </c>
      <c r="C4">
        <v>0</v>
      </c>
      <c r="D4">
        <v>0.66430523238973005</v>
      </c>
      <c r="E4">
        <v>0.29901794338380511</v>
      </c>
      <c r="F4">
        <v>0.51077759986408711</v>
      </c>
      <c r="I4">
        <v>-10</v>
      </c>
      <c r="J4">
        <v>6.6475312705727443E-2</v>
      </c>
      <c r="K4">
        <v>1.6638578011849901E-2</v>
      </c>
      <c r="L4">
        <v>-1.2865425046189132E-2</v>
      </c>
    </row>
    <row r="5" spans="1:12" x14ac:dyDescent="0.2">
      <c r="A5">
        <v>-150</v>
      </c>
      <c r="B5">
        <v>0</v>
      </c>
      <c r="C5">
        <v>0</v>
      </c>
      <c r="D5">
        <v>0.70414632784726794</v>
      </c>
      <c r="E5">
        <v>0.49083856221198152</v>
      </c>
      <c r="F5">
        <v>0.57079034509121018</v>
      </c>
      <c r="I5">
        <v>-5</v>
      </c>
      <c r="J5">
        <v>4.0485845951283739E-2</v>
      </c>
      <c r="K5">
        <v>1.233429888084266E-2</v>
      </c>
      <c r="L5">
        <v>-4.20760687209327E-3</v>
      </c>
    </row>
    <row r="6" spans="1:12" x14ac:dyDescent="0.2">
      <c r="A6">
        <v>-140</v>
      </c>
      <c r="B6">
        <v>0</v>
      </c>
      <c r="C6">
        <v>0</v>
      </c>
      <c r="D6">
        <v>0.67624911125740617</v>
      </c>
      <c r="E6">
        <v>0.69306008689927578</v>
      </c>
      <c r="F6">
        <v>0.58105423177387494</v>
      </c>
      <c r="I6" s="1">
        <v>0</v>
      </c>
      <c r="J6">
        <v>-1.0152410211396378E-2</v>
      </c>
      <c r="K6">
        <v>1.8378640918733116E-2</v>
      </c>
      <c r="L6">
        <v>1.448915882690225E-2</v>
      </c>
    </row>
    <row r="7" spans="1:12" x14ac:dyDescent="0.2">
      <c r="A7">
        <v>-130</v>
      </c>
      <c r="B7">
        <v>0</v>
      </c>
      <c r="C7">
        <v>0</v>
      </c>
      <c r="D7">
        <v>0.61256871099407506</v>
      </c>
      <c r="E7">
        <v>0.8929636234364714</v>
      </c>
      <c r="F7">
        <v>0.57998293954001989</v>
      </c>
      <c r="I7">
        <v>5</v>
      </c>
      <c r="J7">
        <v>-0.10664091873308491</v>
      </c>
      <c r="K7">
        <v>2.0809011776753719E-2</v>
      </c>
      <c r="L7">
        <v>3.2447917772728242E-2</v>
      </c>
    </row>
    <row r="8" spans="1:12" x14ac:dyDescent="0.2">
      <c r="A8">
        <v>-120</v>
      </c>
      <c r="B8">
        <v>0</v>
      </c>
      <c r="C8">
        <v>0</v>
      </c>
      <c r="D8">
        <v>0.49629724818959842</v>
      </c>
      <c r="E8">
        <v>1.0761135694535879</v>
      </c>
      <c r="F8">
        <v>0.56074650130603754</v>
      </c>
      <c r="I8">
        <v>10</v>
      </c>
      <c r="J8">
        <v>-0.16351342257333046</v>
      </c>
      <c r="K8">
        <v>2.9752907614658788E-2</v>
      </c>
      <c r="L8">
        <v>4.2360211514366412E-2</v>
      </c>
    </row>
    <row r="9" spans="1:12" x14ac:dyDescent="0.2">
      <c r="A9">
        <v>-110</v>
      </c>
      <c r="B9">
        <v>0</v>
      </c>
      <c r="C9">
        <v>0</v>
      </c>
      <c r="D9">
        <v>0.34559342725477288</v>
      </c>
      <c r="E9">
        <v>1.2384993074391046</v>
      </c>
      <c r="F9">
        <v>0.56955792817855555</v>
      </c>
      <c r="I9">
        <v>15</v>
      </c>
      <c r="J9">
        <v>-0.22656308975202963</v>
      </c>
      <c r="K9">
        <v>3.8671055518981763E-2</v>
      </c>
      <c r="L9">
        <v>5.2938053473210303E-2</v>
      </c>
    </row>
    <row r="10" spans="1:12" x14ac:dyDescent="0.2">
      <c r="A10">
        <v>-100</v>
      </c>
      <c r="B10">
        <v>0</v>
      </c>
      <c r="C10">
        <v>0</v>
      </c>
      <c r="D10">
        <v>0.13891637972350229</v>
      </c>
      <c r="E10">
        <v>1.2690835760368664</v>
      </c>
      <c r="F10">
        <v>0.50751386353500816</v>
      </c>
      <c r="I10">
        <v>20</v>
      </c>
      <c r="J10">
        <v>-0.27325579694243252</v>
      </c>
      <c r="K10">
        <v>4.8972569673030479E-2</v>
      </c>
      <c r="L10">
        <v>6.0676591135934085E-2</v>
      </c>
    </row>
    <row r="11" spans="1:12" x14ac:dyDescent="0.2">
      <c r="A11">
        <v>-90</v>
      </c>
      <c r="B11">
        <v>0</v>
      </c>
      <c r="C11">
        <v>0</v>
      </c>
      <c r="D11">
        <v>-7.177304015799868E-2</v>
      </c>
      <c r="E11">
        <v>1.3116534351547069</v>
      </c>
      <c r="F11">
        <v>0.46391423899424494</v>
      </c>
      <c r="I11">
        <v>25</v>
      </c>
      <c r="J11">
        <v>-0.34794821154268135</v>
      </c>
      <c r="K11">
        <v>6.1441591690439626E-2</v>
      </c>
      <c r="L11">
        <v>7.2360848605831515E-2</v>
      </c>
    </row>
    <row r="12" spans="1:12" x14ac:dyDescent="0.2">
      <c r="A12">
        <v>-80</v>
      </c>
      <c r="B12">
        <v>0</v>
      </c>
      <c r="C12">
        <v>0</v>
      </c>
      <c r="D12">
        <v>-0.28999341672152729</v>
      </c>
      <c r="E12">
        <v>1.2868729427254773</v>
      </c>
      <c r="F12">
        <v>0.41986026460532183</v>
      </c>
      <c r="I12">
        <v>30</v>
      </c>
      <c r="J12">
        <v>-0.39569892473118301</v>
      </c>
      <c r="K12">
        <v>7.22908346134154E-2</v>
      </c>
      <c r="L12">
        <v>7.8837945167661239E-2</v>
      </c>
    </row>
    <row r="13" spans="1:12" x14ac:dyDescent="0.2">
      <c r="A13">
        <v>-70</v>
      </c>
      <c r="B13">
        <v>0</v>
      </c>
      <c r="C13">
        <v>0</v>
      </c>
      <c r="D13">
        <v>-0.48680710994075044</v>
      </c>
      <c r="E13">
        <v>1.2096905859117841</v>
      </c>
      <c r="F13">
        <v>0.36177026481768565</v>
      </c>
    </row>
    <row r="14" spans="1:12" x14ac:dyDescent="0.2">
      <c r="A14">
        <v>-60</v>
      </c>
      <c r="B14">
        <v>0</v>
      </c>
      <c r="C14">
        <v>0</v>
      </c>
      <c r="D14">
        <v>-0.65128373930217254</v>
      </c>
      <c r="E14">
        <v>1.0807899934167216</v>
      </c>
      <c r="F14">
        <v>0.30222344921319205</v>
      </c>
    </row>
    <row r="15" spans="1:12" x14ac:dyDescent="0.2">
      <c r="A15">
        <v>-50</v>
      </c>
      <c r="B15">
        <v>0</v>
      </c>
      <c r="C15">
        <v>0</v>
      </c>
      <c r="D15">
        <v>-0.79078341013824882</v>
      </c>
      <c r="E15">
        <v>0.9283080974325213</v>
      </c>
      <c r="F15">
        <v>0.23505277240969227</v>
      </c>
    </row>
    <row r="16" spans="1:12" x14ac:dyDescent="0.2">
      <c r="A16">
        <v>-40</v>
      </c>
      <c r="B16">
        <v>0</v>
      </c>
      <c r="C16">
        <v>0</v>
      </c>
      <c r="D16">
        <v>-0.91583936800526666</v>
      </c>
      <c r="E16">
        <v>0.7618959842001316</v>
      </c>
      <c r="F16">
        <v>0.17759561681072011</v>
      </c>
    </row>
    <row r="17" spans="1:17" x14ac:dyDescent="0.2">
      <c r="A17">
        <v>-30</v>
      </c>
      <c r="B17">
        <v>0</v>
      </c>
      <c r="C17">
        <v>0</v>
      </c>
      <c r="D17">
        <v>-0.88352863726135611</v>
      </c>
      <c r="E17">
        <v>0.52822909809084917</v>
      </c>
      <c r="F17">
        <v>0.138652339187496</v>
      </c>
    </row>
    <row r="18" spans="1:17" x14ac:dyDescent="0.2">
      <c r="A18">
        <v>-20</v>
      </c>
      <c r="B18">
        <v>0</v>
      </c>
      <c r="C18">
        <v>0</v>
      </c>
      <c r="D18">
        <v>-0.76784726793943381</v>
      </c>
      <c r="E18">
        <v>0.31373271889400922</v>
      </c>
      <c r="F18">
        <v>0.10520078999341673</v>
      </c>
    </row>
    <row r="19" spans="1:17" x14ac:dyDescent="0.2">
      <c r="A19">
        <v>-10</v>
      </c>
      <c r="B19">
        <v>0</v>
      </c>
      <c r="C19">
        <v>0</v>
      </c>
      <c r="D19">
        <v>-0.70692560895325873</v>
      </c>
      <c r="E19">
        <v>0.12121263989466753</v>
      </c>
      <c r="F19">
        <v>5.4662447705408901E-2</v>
      </c>
    </row>
    <row r="20" spans="1:17" x14ac:dyDescent="0.2">
      <c r="A20">
        <v>-5</v>
      </c>
      <c r="B20">
        <v>0</v>
      </c>
      <c r="C20">
        <v>0</v>
      </c>
      <c r="D20">
        <v>-0.46442396313364059</v>
      </c>
      <c r="E20">
        <v>3.0185648452929561E-2</v>
      </c>
      <c r="F20">
        <v>5.4433094777973624E-2</v>
      </c>
    </row>
    <row r="21" spans="1:17" x14ac:dyDescent="0.2">
      <c r="A21" s="1">
        <v>0</v>
      </c>
      <c r="B21">
        <v>0</v>
      </c>
      <c r="C21">
        <v>0</v>
      </c>
      <c r="D21" s="1">
        <v>-3.9385121790651741E-2</v>
      </c>
      <c r="E21" s="1">
        <v>1.7847267939433836E-2</v>
      </c>
      <c r="F21" s="1">
        <v>3.5204502113020023E-2</v>
      </c>
    </row>
    <row r="22" spans="1:17" x14ac:dyDescent="0.2">
      <c r="A22">
        <v>4</v>
      </c>
      <c r="B22">
        <v>0</v>
      </c>
      <c r="C22">
        <v>0</v>
      </c>
      <c r="D22">
        <v>0.30544437129690583</v>
      </c>
      <c r="E22">
        <v>2.2857142857142857E-2</v>
      </c>
      <c r="F22">
        <v>1.7079963578440611E-2</v>
      </c>
    </row>
    <row r="23" spans="1:17" x14ac:dyDescent="0.2">
      <c r="A23">
        <v>8</v>
      </c>
      <c r="B23">
        <v>0</v>
      </c>
      <c r="C23">
        <v>0</v>
      </c>
      <c r="D23">
        <v>0.64820934825543119</v>
      </c>
      <c r="E23">
        <v>4.0916392363396975E-2</v>
      </c>
      <c r="F23">
        <v>-3.8819568591940577E-3</v>
      </c>
    </row>
    <row r="24" spans="1:17" x14ac:dyDescent="0.2">
      <c r="A24">
        <v>12</v>
      </c>
      <c r="B24">
        <v>0</v>
      </c>
      <c r="C24">
        <v>0</v>
      </c>
      <c r="D24">
        <v>0.98143515470704412</v>
      </c>
      <c r="E24">
        <v>7.3541803818301513E-2</v>
      </c>
      <c r="F24">
        <v>-3.0155375481340018E-2</v>
      </c>
    </row>
    <row r="25" spans="1:17" x14ac:dyDescent="0.2">
      <c r="A25">
        <v>16</v>
      </c>
      <c r="B25">
        <v>0</v>
      </c>
      <c r="C25">
        <v>0</v>
      </c>
      <c r="D25">
        <v>1.0487820934825542</v>
      </c>
      <c r="E25">
        <v>0.1428110599078341</v>
      </c>
      <c r="F25">
        <v>-3.3779376323535212E-3</v>
      </c>
    </row>
    <row r="26" spans="1:17" x14ac:dyDescent="0.2">
      <c r="A26">
        <v>20</v>
      </c>
      <c r="B26">
        <v>0</v>
      </c>
      <c r="C26">
        <v>0</v>
      </c>
      <c r="D26">
        <v>0.89249506254114541</v>
      </c>
      <c r="E26">
        <v>0.31131007241606318</v>
      </c>
      <c r="F26">
        <v>-4.0683137783674952E-2</v>
      </c>
    </row>
    <row r="27" spans="1:17" x14ac:dyDescent="0.2">
      <c r="A27">
        <v>30</v>
      </c>
      <c r="B27">
        <v>0</v>
      </c>
      <c r="C27">
        <v>0</v>
      </c>
      <c r="D27">
        <v>0.85477287689269255</v>
      </c>
      <c r="E27">
        <v>0.48263331138907173</v>
      </c>
      <c r="F27">
        <v>-9.0141811443002179E-2</v>
      </c>
    </row>
    <row r="28" spans="1:17" x14ac:dyDescent="0.2">
      <c r="A28">
        <v>40</v>
      </c>
      <c r="B28">
        <v>0</v>
      </c>
      <c r="C28">
        <v>0</v>
      </c>
      <c r="D28">
        <v>0.87952600394996705</v>
      </c>
      <c r="E28">
        <v>0.7190256747860434</v>
      </c>
      <c r="F28">
        <v>-0.1295755346203952</v>
      </c>
    </row>
    <row r="29" spans="1:17" x14ac:dyDescent="0.2">
      <c r="A29">
        <v>50</v>
      </c>
      <c r="B29">
        <v>0</v>
      </c>
      <c r="C29">
        <v>0</v>
      </c>
      <c r="D29">
        <v>0.76589861751152077</v>
      </c>
      <c r="E29">
        <v>0.90375246872942727</v>
      </c>
      <c r="F29">
        <v>-0.19086065253731421</v>
      </c>
    </row>
    <row r="30" spans="1:17" x14ac:dyDescent="0.2">
      <c r="A30">
        <v>60</v>
      </c>
      <c r="B30">
        <v>0</v>
      </c>
      <c r="C30">
        <v>0</v>
      </c>
      <c r="D30">
        <v>0.62862409479921</v>
      </c>
      <c r="E30">
        <v>1.0663594470046083</v>
      </c>
      <c r="F30">
        <v>-0.26155864797382611</v>
      </c>
      <c r="I30" t="s">
        <v>10</v>
      </c>
      <c r="J30" t="s">
        <v>11</v>
      </c>
      <c r="K30" t="s">
        <v>12</v>
      </c>
      <c r="L30" t="s">
        <v>13</v>
      </c>
      <c r="O30" t="s">
        <v>7</v>
      </c>
      <c r="P30" t="s">
        <v>6</v>
      </c>
      <c r="Q30" t="s">
        <v>9</v>
      </c>
    </row>
    <row r="31" spans="1:17" x14ac:dyDescent="0.2">
      <c r="A31">
        <v>70</v>
      </c>
      <c r="B31">
        <v>0</v>
      </c>
      <c r="C31">
        <v>0</v>
      </c>
      <c r="D31">
        <v>0.48877551020408166</v>
      </c>
      <c r="E31">
        <v>1.2795260039499672</v>
      </c>
      <c r="F31">
        <v>-0.36516266252821677</v>
      </c>
      <c r="I31">
        <v>-20</v>
      </c>
      <c r="J31">
        <v>19.952200000000001</v>
      </c>
      <c r="K31">
        <v>4.1821999999999999</v>
      </c>
      <c r="L31">
        <v>-1.4481599999999999</v>
      </c>
      <c r="O31">
        <f>J31/(0.5*1.225*20^2*0.62)</f>
        <v>0.13135088874259382</v>
      </c>
      <c r="P31">
        <f>K31/(0.5*1.225*20^2*0.62)</f>
        <v>2.7532587228439761E-2</v>
      </c>
      <c r="Q31">
        <f>L31/(0.5*1.225*20^2*0.62*0.31)</f>
        <v>-3.075367920321094E-2</v>
      </c>
    </row>
    <row r="32" spans="1:17" x14ac:dyDescent="0.2">
      <c r="A32">
        <v>80</v>
      </c>
      <c r="B32">
        <v>0</v>
      </c>
      <c r="C32">
        <v>0</v>
      </c>
      <c r="D32">
        <v>0.26316655694535879</v>
      </c>
      <c r="E32">
        <v>1.3034233048057933</v>
      </c>
      <c r="F32">
        <v>-0.39165413824862283</v>
      </c>
      <c r="I32">
        <v>-15</v>
      </c>
      <c r="J32">
        <v>14.1272</v>
      </c>
      <c r="K32">
        <v>3.262</v>
      </c>
      <c r="L32">
        <v>-0.97318000000000005</v>
      </c>
      <c r="O32">
        <f t="shared" ref="O32:P41" si="0">J32/(0.5*1.225*20^2*0.62)</f>
        <v>9.3003291639236332E-2</v>
      </c>
      <c r="P32">
        <f t="shared" si="0"/>
        <v>2.1474654377880185E-2</v>
      </c>
      <c r="Q32">
        <f t="shared" ref="Q32:Q41" si="1">L32/(0.5*1.225*20^2*0.62*0.31)</f>
        <v>-2.0666822400135915E-2</v>
      </c>
    </row>
    <row r="33" spans="1:17" x14ac:dyDescent="0.2">
      <c r="A33">
        <v>90</v>
      </c>
      <c r="B33">
        <v>0</v>
      </c>
      <c r="C33">
        <v>0</v>
      </c>
      <c r="D33">
        <v>4.2115865701119158E-2</v>
      </c>
      <c r="E33">
        <v>1.3374588545095456</v>
      </c>
      <c r="F33">
        <v>-0.4529720316846822</v>
      </c>
      <c r="I33">
        <v>-10</v>
      </c>
      <c r="J33">
        <v>10.0976</v>
      </c>
      <c r="K33">
        <v>2.5274000000000001</v>
      </c>
      <c r="L33">
        <v>-0.60582000000000003</v>
      </c>
      <c r="O33">
        <f t="shared" si="0"/>
        <v>6.6475312705727443E-2</v>
      </c>
      <c r="P33">
        <f t="shared" si="0"/>
        <v>1.6638578011849901E-2</v>
      </c>
      <c r="Q33">
        <f t="shared" si="1"/>
        <v>-1.2865425046189132E-2</v>
      </c>
    </row>
    <row r="34" spans="1:17" x14ac:dyDescent="0.2">
      <c r="A34">
        <v>100</v>
      </c>
      <c r="B34">
        <v>0</v>
      </c>
      <c r="C34">
        <v>0</v>
      </c>
      <c r="D34">
        <v>-0.18377303383805135</v>
      </c>
      <c r="E34">
        <v>1.3080840763660304</v>
      </c>
      <c r="F34">
        <v>-0.4934645050861135</v>
      </c>
      <c r="I34">
        <v>-5</v>
      </c>
      <c r="J34">
        <v>6.1497999999999999</v>
      </c>
      <c r="K34">
        <v>1.87358</v>
      </c>
      <c r="L34">
        <v>-0.198132</v>
      </c>
      <c r="O34">
        <f t="shared" si="0"/>
        <v>4.0485845951283739E-2</v>
      </c>
      <c r="P34">
        <f t="shared" si="0"/>
        <v>1.233429888084266E-2</v>
      </c>
      <c r="Q34">
        <f t="shared" si="1"/>
        <v>-4.20760687209327E-3</v>
      </c>
    </row>
    <row r="35" spans="1:17" x14ac:dyDescent="0.2">
      <c r="A35">
        <v>110</v>
      </c>
      <c r="B35">
        <v>0</v>
      </c>
      <c r="C35">
        <v>0</v>
      </c>
      <c r="D35">
        <v>-0.38821567873601048</v>
      </c>
      <c r="E35">
        <v>1.2273251770901907</v>
      </c>
      <c r="F35">
        <v>-0.52979975110960098</v>
      </c>
      <c r="I35" s="1">
        <v>0</v>
      </c>
      <c r="J35">
        <v>-1.5421511111111099</v>
      </c>
      <c r="K35">
        <v>2.7917155555555602</v>
      </c>
      <c r="L35">
        <v>0.68228</v>
      </c>
      <c r="O35">
        <f t="shared" si="0"/>
        <v>-1.0152410211396378E-2</v>
      </c>
      <c r="P35">
        <f t="shared" si="0"/>
        <v>1.8378640918733116E-2</v>
      </c>
      <c r="Q35">
        <f t="shared" si="1"/>
        <v>1.448915882690225E-2</v>
      </c>
    </row>
    <row r="36" spans="1:17" x14ac:dyDescent="0.2">
      <c r="A36">
        <v>120</v>
      </c>
      <c r="B36">
        <v>0</v>
      </c>
      <c r="C36">
        <v>0</v>
      </c>
      <c r="D36">
        <v>-0.59298205661619485</v>
      </c>
      <c r="E36">
        <v>1.1546791099407503</v>
      </c>
      <c r="F36">
        <v>-0.58566056955976986</v>
      </c>
      <c r="I36">
        <v>5</v>
      </c>
      <c r="J36">
        <v>-16.1987555555556</v>
      </c>
      <c r="K36">
        <v>3.16088888888889</v>
      </c>
      <c r="L36">
        <v>1.5279400000000001</v>
      </c>
      <c r="O36">
        <f t="shared" si="0"/>
        <v>-0.10664091873308491</v>
      </c>
      <c r="P36">
        <f t="shared" si="0"/>
        <v>2.0809011776753719E-2</v>
      </c>
      <c r="Q36">
        <f t="shared" si="1"/>
        <v>3.2447917772728242E-2</v>
      </c>
    </row>
    <row r="37" spans="1:17" x14ac:dyDescent="0.2">
      <c r="A37">
        <v>130</v>
      </c>
      <c r="B37">
        <v>0</v>
      </c>
      <c r="C37">
        <v>0</v>
      </c>
      <c r="D37">
        <v>-0.70031667149440424</v>
      </c>
      <c r="E37">
        <v>0.93520469782751803</v>
      </c>
      <c r="F37">
        <v>-0.59107117840684653</v>
      </c>
      <c r="I37">
        <v>10</v>
      </c>
      <c r="J37">
        <v>-24.837688888888898</v>
      </c>
      <c r="K37">
        <v>4.5194666666666699</v>
      </c>
      <c r="L37">
        <v>1.9946999999999999</v>
      </c>
      <c r="O37">
        <f t="shared" si="0"/>
        <v>-0.16351342257333046</v>
      </c>
      <c r="P37">
        <f t="shared" si="0"/>
        <v>2.9752907614658788E-2</v>
      </c>
      <c r="Q37">
        <f t="shared" si="1"/>
        <v>4.2360211514366412E-2</v>
      </c>
    </row>
    <row r="38" spans="1:17" x14ac:dyDescent="0.2">
      <c r="A38">
        <v>140</v>
      </c>
      <c r="B38">
        <v>0</v>
      </c>
      <c r="C38">
        <v>0</v>
      </c>
      <c r="D38">
        <v>-0.74021900724160627</v>
      </c>
      <c r="E38">
        <v>0.69957104410796567</v>
      </c>
      <c r="F38">
        <v>-0.54708594193973115</v>
      </c>
      <c r="I38">
        <v>15</v>
      </c>
      <c r="J38">
        <v>-34.414933333333302</v>
      </c>
      <c r="K38">
        <v>5.8741333333333303</v>
      </c>
      <c r="L38">
        <v>2.4927999999999999</v>
      </c>
      <c r="O38">
        <f t="shared" si="0"/>
        <v>-0.22656308975202963</v>
      </c>
      <c r="P38">
        <f t="shared" si="0"/>
        <v>3.8671055518981763E-2</v>
      </c>
      <c r="Q38">
        <f t="shared" si="1"/>
        <v>5.2938053473210303E-2</v>
      </c>
    </row>
    <row r="39" spans="1:17" x14ac:dyDescent="0.2">
      <c r="A39">
        <v>150</v>
      </c>
      <c r="B39">
        <v>0</v>
      </c>
      <c r="C39">
        <v>0</v>
      </c>
      <c r="D39">
        <v>-0.87362656484529289</v>
      </c>
      <c r="E39">
        <v>0.55194204608294928</v>
      </c>
      <c r="F39">
        <v>-0.61133676909681667</v>
      </c>
      <c r="I39">
        <v>20</v>
      </c>
      <c r="J39">
        <v>-41.507555555555498</v>
      </c>
      <c r="K39">
        <v>7.4389333333333303</v>
      </c>
      <c r="L39">
        <v>2.8572000000000002</v>
      </c>
      <c r="O39">
        <f t="shared" si="0"/>
        <v>-0.27325579694243252</v>
      </c>
      <c r="P39">
        <f t="shared" si="0"/>
        <v>4.8972569673030479E-2</v>
      </c>
      <c r="Q39">
        <f t="shared" si="1"/>
        <v>6.0676591135934085E-2</v>
      </c>
    </row>
    <row r="40" spans="1:17" x14ac:dyDescent="0.2">
      <c r="A40">
        <v>160</v>
      </c>
      <c r="B40">
        <v>0</v>
      </c>
      <c r="C40">
        <v>0</v>
      </c>
      <c r="D40">
        <v>-0.77660302830809735</v>
      </c>
      <c r="E40">
        <v>0.31903085714285712</v>
      </c>
      <c r="F40">
        <v>-0.5225737951538576</v>
      </c>
      <c r="I40">
        <v>25</v>
      </c>
      <c r="J40">
        <v>-52.853333333333303</v>
      </c>
      <c r="K40">
        <v>9.3329777777777796</v>
      </c>
      <c r="L40">
        <v>3.4074</v>
      </c>
      <c r="O40">
        <f t="shared" si="0"/>
        <v>-0.34794821154268135</v>
      </c>
      <c r="P40">
        <f t="shared" si="0"/>
        <v>6.1441591690439626E-2</v>
      </c>
      <c r="Q40">
        <f t="shared" si="1"/>
        <v>7.2360848605831515E-2</v>
      </c>
    </row>
    <row r="41" spans="1:17" x14ac:dyDescent="0.2">
      <c r="A41">
        <v>170</v>
      </c>
      <c r="B41">
        <v>0</v>
      </c>
      <c r="C41">
        <v>0</v>
      </c>
      <c r="D41">
        <v>-0.59121632653061229</v>
      </c>
      <c r="E41">
        <v>0.11726451612903226</v>
      </c>
      <c r="F41">
        <v>-0.39502650725222449</v>
      </c>
      <c r="I41">
        <v>30</v>
      </c>
      <c r="J41">
        <v>-60.106666666666698</v>
      </c>
      <c r="K41">
        <v>10.980977777777801</v>
      </c>
      <c r="L41">
        <v>3.7124000000000001</v>
      </c>
      <c r="O41">
        <f t="shared" si="0"/>
        <v>-0.39569892473118301</v>
      </c>
      <c r="P41">
        <f t="shared" si="0"/>
        <v>7.22908346134154E-2</v>
      </c>
      <c r="Q41">
        <f t="shared" si="1"/>
        <v>7.8837945167661239E-2</v>
      </c>
    </row>
    <row r="42" spans="1:17" x14ac:dyDescent="0.2">
      <c r="A42">
        <v>180</v>
      </c>
      <c r="B42">
        <v>0</v>
      </c>
      <c r="C42">
        <v>0</v>
      </c>
      <c r="D42">
        <v>-1.929341219223173E-3</v>
      </c>
      <c r="E42">
        <v>2.9625454641211323E-2</v>
      </c>
      <c r="F42">
        <v>2.087896672258914E-2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E3037-8F68-426D-92E7-59ED42205BB7}">
  <sheetPr codeName="Sheet2"/>
  <dimension ref="A1:H34"/>
  <sheetViews>
    <sheetView workbookViewId="0">
      <selection activeCell="E17" sqref="E17"/>
    </sheetView>
  </sheetViews>
  <sheetFormatPr defaultRowHeight="14.2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8" x14ac:dyDescent="0.2">
      <c r="A2" s="2">
        <v>-180</v>
      </c>
      <c r="B2">
        <v>0</v>
      </c>
      <c r="C2">
        <v>0</v>
      </c>
      <c r="D2">
        <v>4.7566219881500983E-4</v>
      </c>
      <c r="E2">
        <v>2.9956841079657667E-2</v>
      </c>
      <c r="F2">
        <v>2.1459574168064727E-2</v>
      </c>
    </row>
    <row r="3" spans="1:8" x14ac:dyDescent="0.2">
      <c r="A3" s="3">
        <v>-160</v>
      </c>
      <c r="B3">
        <v>0</v>
      </c>
      <c r="C3">
        <v>0</v>
      </c>
      <c r="D3">
        <v>0.70928564581961817</v>
      </c>
      <c r="E3">
        <v>0.31198042922975638</v>
      </c>
      <c r="F3">
        <v>0.51294381957569712</v>
      </c>
    </row>
    <row r="4" spans="1:8" x14ac:dyDescent="0.2">
      <c r="A4" s="3">
        <v>-140</v>
      </c>
      <c r="B4">
        <v>0</v>
      </c>
      <c r="C4">
        <v>0</v>
      </c>
      <c r="D4">
        <v>0.7350864305464121</v>
      </c>
      <c r="E4">
        <v>0.73937411454904545</v>
      </c>
      <c r="F4">
        <v>0.49644799592261457</v>
      </c>
    </row>
    <row r="5" spans="1:8" x14ac:dyDescent="0.2">
      <c r="A5" s="3">
        <v>-120</v>
      </c>
      <c r="B5">
        <v>0</v>
      </c>
      <c r="C5">
        <v>0</v>
      </c>
      <c r="D5">
        <v>0.58772305990783402</v>
      </c>
      <c r="E5">
        <v>1.2211898143515469</v>
      </c>
      <c r="F5">
        <v>0.43830053897937948</v>
      </c>
    </row>
    <row r="6" spans="1:8" x14ac:dyDescent="0.2">
      <c r="A6" s="3">
        <v>-100</v>
      </c>
      <c r="B6">
        <v>0</v>
      </c>
      <c r="C6">
        <v>0</v>
      </c>
      <c r="D6">
        <v>0.16479319763001973</v>
      </c>
      <c r="E6">
        <v>1.4029929795918366</v>
      </c>
      <c r="F6">
        <v>0.27358390791904691</v>
      </c>
      <c r="H6" s="1"/>
    </row>
    <row r="7" spans="1:8" x14ac:dyDescent="0.2">
      <c r="A7" s="3">
        <v>-80</v>
      </c>
      <c r="B7">
        <v>0</v>
      </c>
      <c r="C7">
        <v>0</v>
      </c>
      <c r="D7">
        <v>-0.3296660434496379</v>
      </c>
      <c r="E7">
        <v>1.5173561342988808</v>
      </c>
      <c r="F7">
        <v>8.0013496145596635E-2</v>
      </c>
    </row>
    <row r="8" spans="1:8" x14ac:dyDescent="0.2">
      <c r="A8" s="3">
        <v>-70</v>
      </c>
      <c r="B8">
        <v>0</v>
      </c>
      <c r="C8">
        <v>0</v>
      </c>
      <c r="D8">
        <v>-0.5970658380513495</v>
      </c>
      <c r="E8">
        <v>1.4480360447662937</v>
      </c>
      <c r="F8">
        <v>-0.14235252564293147</v>
      </c>
    </row>
    <row r="9" spans="1:8" x14ac:dyDescent="0.2">
      <c r="A9" s="3">
        <v>-60</v>
      </c>
      <c r="B9">
        <v>0</v>
      </c>
      <c r="C9">
        <v>0</v>
      </c>
      <c r="D9">
        <v>-0.80154408953258727</v>
      </c>
      <c r="E9">
        <v>1.282692866359447</v>
      </c>
      <c r="F9">
        <v>-0.2194607284079084</v>
      </c>
    </row>
    <row r="10" spans="1:8" x14ac:dyDescent="0.2">
      <c r="A10" s="3">
        <v>-50</v>
      </c>
      <c r="B10">
        <v>0</v>
      </c>
      <c r="C10">
        <v>0</v>
      </c>
      <c r="D10">
        <v>-0.98130675444371296</v>
      </c>
      <c r="E10">
        <v>1.1218717577353521</v>
      </c>
      <c r="F10">
        <v>-0.23601015608740894</v>
      </c>
    </row>
    <row r="11" spans="1:8" x14ac:dyDescent="0.2">
      <c r="A11" s="3">
        <v>-40</v>
      </c>
      <c r="B11">
        <v>0</v>
      </c>
      <c r="C11">
        <v>0</v>
      </c>
      <c r="D11">
        <v>-1.1269754522712312</v>
      </c>
      <c r="E11">
        <v>0.91280284397630018</v>
      </c>
      <c r="F11">
        <v>-0.25812619337849602</v>
      </c>
    </row>
    <row r="12" spans="1:8" x14ac:dyDescent="0.2">
      <c r="A12" s="3">
        <v>-30</v>
      </c>
      <c r="B12">
        <v>0</v>
      </c>
      <c r="C12">
        <v>0</v>
      </c>
      <c r="D12">
        <v>-1.083867133640553</v>
      </c>
      <c r="E12">
        <v>0.63947875181040159</v>
      </c>
      <c r="F12">
        <v>-0.13441886470300918</v>
      </c>
    </row>
    <row r="13" spans="1:8" x14ac:dyDescent="0.2">
      <c r="A13" s="3">
        <v>-20</v>
      </c>
      <c r="B13">
        <v>0</v>
      </c>
      <c r="C13">
        <v>0</v>
      </c>
      <c r="D13">
        <v>-0.92261268729427248</v>
      </c>
      <c r="E13">
        <v>0.367034017116524</v>
      </c>
      <c r="F13">
        <v>-4.3502977595616811E-2</v>
      </c>
    </row>
    <row r="14" spans="1:8" x14ac:dyDescent="0.2">
      <c r="A14" s="3">
        <v>-10</v>
      </c>
      <c r="B14">
        <v>0</v>
      </c>
      <c r="C14">
        <v>0</v>
      </c>
      <c r="D14">
        <v>-0.72164177485187619</v>
      </c>
      <c r="E14">
        <v>0.13334352179065176</v>
      </c>
      <c r="F14">
        <v>1.3375670411348722E-2</v>
      </c>
    </row>
    <row r="15" spans="1:8" x14ac:dyDescent="0.2">
      <c r="A15" s="3">
        <v>-5</v>
      </c>
      <c r="B15">
        <v>0</v>
      </c>
      <c r="C15">
        <v>0</v>
      </c>
      <c r="D15">
        <v>-0.43503321658986172</v>
      </c>
      <c r="E15">
        <v>3.6748945358788677E-2</v>
      </c>
      <c r="F15">
        <v>2.3870040816326529E-2</v>
      </c>
    </row>
    <row r="16" spans="1:8" x14ac:dyDescent="0.2">
      <c r="A16" s="4">
        <v>0</v>
      </c>
      <c r="B16">
        <v>0</v>
      </c>
      <c r="C16">
        <v>0</v>
      </c>
      <c r="D16">
        <v>-3.0042718630678075E-2</v>
      </c>
      <c r="E16">
        <v>2.0152349282422644E-2</v>
      </c>
      <c r="F16">
        <v>3.1015396377073196E-2</v>
      </c>
    </row>
    <row r="17" spans="1:6" x14ac:dyDescent="0.2">
      <c r="A17" s="3">
        <v>4</v>
      </c>
      <c r="B17">
        <v>0</v>
      </c>
      <c r="C17">
        <v>0</v>
      </c>
      <c r="D17">
        <v>0.31333768005266621</v>
      </c>
      <c r="E17">
        <v>2.6166549572086899E-2</v>
      </c>
      <c r="F17">
        <v>2.8586996708360762E-2</v>
      </c>
    </row>
    <row r="18" spans="1:6" x14ac:dyDescent="0.2">
      <c r="A18" s="3">
        <v>8</v>
      </c>
      <c r="B18">
        <v>0</v>
      </c>
      <c r="C18">
        <v>0</v>
      </c>
      <c r="D18">
        <v>0.65103677682685968</v>
      </c>
      <c r="E18">
        <v>4.8220071099407506E-2</v>
      </c>
      <c r="F18">
        <v>2.381012975429506E-2</v>
      </c>
    </row>
    <row r="19" spans="1:6" x14ac:dyDescent="0.2">
      <c r="A19" s="3">
        <v>12</v>
      </c>
      <c r="B19">
        <v>0</v>
      </c>
      <c r="C19">
        <v>0</v>
      </c>
      <c r="D19">
        <v>0.94190693877551013</v>
      </c>
      <c r="E19">
        <v>9.1920629888084263E-2</v>
      </c>
      <c r="F19">
        <v>2.4672129117203592E-2</v>
      </c>
    </row>
    <row r="20" spans="1:6" x14ac:dyDescent="0.2">
      <c r="A20" s="3">
        <v>14</v>
      </c>
      <c r="B20">
        <v>0</v>
      </c>
      <c r="C20">
        <v>0</v>
      </c>
      <c r="D20">
        <v>0.97791717709019088</v>
      </c>
      <c r="E20">
        <v>0.14216403423304805</v>
      </c>
      <c r="F20">
        <v>6.0290687676527427E-2</v>
      </c>
    </row>
    <row r="21" spans="1:6" x14ac:dyDescent="0.2">
      <c r="A21" s="3">
        <v>16</v>
      </c>
      <c r="B21">
        <v>0</v>
      </c>
      <c r="C21">
        <v>0</v>
      </c>
      <c r="D21" s="1">
        <v>0.97252851612903213</v>
      </c>
      <c r="E21" s="1">
        <v>0.20660217090190913</v>
      </c>
      <c r="F21" s="1">
        <v>5.0482746458833265E-2</v>
      </c>
    </row>
    <row r="22" spans="1:6" x14ac:dyDescent="0.2">
      <c r="A22" s="3">
        <v>20</v>
      </c>
      <c r="B22">
        <v>0</v>
      </c>
      <c r="C22">
        <v>0</v>
      </c>
      <c r="D22">
        <v>1.013256426596445</v>
      </c>
      <c r="E22">
        <v>0.34821148650427913</v>
      </c>
      <c r="F22">
        <v>3.8337043810656418E-2</v>
      </c>
    </row>
    <row r="23" spans="1:6" x14ac:dyDescent="0.2">
      <c r="A23" s="3">
        <v>30</v>
      </c>
      <c r="B23">
        <v>0</v>
      </c>
      <c r="C23">
        <v>0</v>
      </c>
      <c r="D23">
        <v>1.0483987254772877</v>
      </c>
      <c r="E23">
        <v>0.60359063594470042</v>
      </c>
      <c r="F23">
        <v>0.17203703285268321</v>
      </c>
    </row>
    <row r="24" spans="1:6" x14ac:dyDescent="0.2">
      <c r="A24" s="3">
        <v>40</v>
      </c>
      <c r="B24">
        <v>0</v>
      </c>
      <c r="C24">
        <v>0</v>
      </c>
      <c r="D24">
        <v>1.0880945885450954</v>
      </c>
      <c r="E24">
        <v>0.87543514417379853</v>
      </c>
      <c r="F24">
        <v>0.28270435982925946</v>
      </c>
    </row>
    <row r="25" spans="1:6" x14ac:dyDescent="0.2">
      <c r="A25" s="3">
        <v>50</v>
      </c>
      <c r="B25">
        <v>0</v>
      </c>
      <c r="C25">
        <v>0</v>
      </c>
      <c r="D25">
        <v>0.96479930480579323</v>
      </c>
      <c r="E25">
        <v>1.1021811823568137</v>
      </c>
      <c r="F25">
        <v>0.28684801630954154</v>
      </c>
    </row>
    <row r="26" spans="1:6" x14ac:dyDescent="0.2">
      <c r="A26" s="3">
        <v>60</v>
      </c>
      <c r="B26">
        <v>0</v>
      </c>
      <c r="C26">
        <v>0</v>
      </c>
      <c r="D26">
        <v>0.78244586175115205</v>
      </c>
      <c r="E26">
        <v>1.2739222962475312</v>
      </c>
      <c r="F26">
        <v>0.2622496532098792</v>
      </c>
    </row>
    <row r="27" spans="1:6" x14ac:dyDescent="0.2">
      <c r="A27" s="3">
        <v>70</v>
      </c>
      <c r="B27">
        <v>0</v>
      </c>
      <c r="C27">
        <v>0</v>
      </c>
      <c r="D27">
        <v>0.57977372481895983</v>
      </c>
      <c r="E27">
        <v>1.4638080210664912</v>
      </c>
      <c r="F27">
        <v>0.17758710866656754</v>
      </c>
    </row>
    <row r="28" spans="1:6" x14ac:dyDescent="0.2">
      <c r="A28" s="3">
        <v>80</v>
      </c>
      <c r="B28">
        <v>0</v>
      </c>
      <c r="C28">
        <v>0</v>
      </c>
      <c r="D28">
        <v>0.29873493614219876</v>
      </c>
      <c r="E28">
        <v>1.5033984463462804</v>
      </c>
      <c r="F28">
        <v>-3.2140887256047065E-2</v>
      </c>
    </row>
    <row r="29" spans="1:6" x14ac:dyDescent="0.2">
      <c r="A29" s="3">
        <v>90</v>
      </c>
      <c r="B29">
        <v>0</v>
      </c>
      <c r="C29">
        <v>0</v>
      </c>
      <c r="D29">
        <v>3.6680892165898621E-2</v>
      </c>
      <c r="E29">
        <v>1.4886327952600393</v>
      </c>
      <c r="F29">
        <v>-0.16223874960181781</v>
      </c>
    </row>
    <row r="30" spans="1:6" x14ac:dyDescent="0.2">
      <c r="A30" s="3">
        <v>100</v>
      </c>
      <c r="B30">
        <v>0</v>
      </c>
      <c r="C30">
        <v>0</v>
      </c>
      <c r="D30">
        <v>-0.21111680842659641</v>
      </c>
      <c r="E30">
        <v>1.4475991468071099</v>
      </c>
      <c r="F30">
        <v>-0.24493860392023614</v>
      </c>
    </row>
    <row r="31" spans="1:6" x14ac:dyDescent="0.2">
      <c r="A31" s="3">
        <v>120</v>
      </c>
      <c r="B31">
        <v>0</v>
      </c>
      <c r="C31">
        <v>0</v>
      </c>
      <c r="D31">
        <v>-0.6787200210664911</v>
      </c>
      <c r="E31">
        <v>1.2929581672152732</v>
      </c>
      <c r="F31">
        <v>-0.44647228524708527</v>
      </c>
    </row>
    <row r="32" spans="1:6" x14ac:dyDescent="0.2">
      <c r="A32" s="3">
        <v>140</v>
      </c>
      <c r="B32">
        <v>0</v>
      </c>
      <c r="C32">
        <v>0</v>
      </c>
      <c r="D32">
        <v>-0.85802343647136281</v>
      </c>
      <c r="E32">
        <v>0.79410656484529296</v>
      </c>
      <c r="F32">
        <v>-0.52513844337318694</v>
      </c>
    </row>
    <row r="33" spans="1:6" x14ac:dyDescent="0.2">
      <c r="A33" s="3">
        <v>160</v>
      </c>
      <c r="B33">
        <v>0</v>
      </c>
      <c r="C33">
        <v>0</v>
      </c>
      <c r="D33">
        <v>-0.80646675971033577</v>
      </c>
      <c r="E33">
        <v>0.32768775246872939</v>
      </c>
      <c r="F33">
        <v>-0.51123602030198123</v>
      </c>
    </row>
    <row r="34" spans="1:6" x14ac:dyDescent="0.2">
      <c r="A34" s="5">
        <v>180</v>
      </c>
      <c r="B34">
        <v>0</v>
      </c>
      <c r="C34">
        <v>0</v>
      </c>
      <c r="D34">
        <v>2.1440969058591177E-4</v>
      </c>
      <c r="E34">
        <v>2.9968267544437127E-2</v>
      </c>
      <c r="F34">
        <v>2.1460778355879291E-2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jinw chen</dc:creator>
  <cp:lastModifiedBy>jinw chen</cp:lastModifiedBy>
  <dcterms:created xsi:type="dcterms:W3CDTF">2015-06-05T18:17:20Z</dcterms:created>
  <dcterms:modified xsi:type="dcterms:W3CDTF">2025-05-11T12:53:39Z</dcterms:modified>
</cp:coreProperties>
</file>